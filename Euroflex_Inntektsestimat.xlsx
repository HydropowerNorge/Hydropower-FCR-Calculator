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uroflex Estimat" state="visible" r:id="rId4"/>
  </sheets>
  <calcPr calcId="171027"/>
</workbook>
</file>

<file path=xl/sharedStrings.xml><?xml version="1.0" encoding="utf-8"?>
<sst xmlns="http://schemas.openxmlformats.org/spreadsheetml/2006/main" count="39" uniqueCount="33">
  <si>
    <t>Euroflex/Nodes Inntektsestimat</t>
  </si>
  <si>
    <t>Basert på LongFlex tilbud: Glitre Nett Øst - Winter 25/26</t>
  </si>
  <si>
    <t>INNDATA</t>
  </si>
  <si>
    <t>Batterikapasitet</t>
  </si>
  <si>
    <t>MW</t>
  </si>
  <si>
    <t>Tilgjengelighetspris</t>
  </si>
  <si>
    <t>NOK/MW/time</t>
  </si>
  <si>
    <t>Maks aktiveringspris</t>
  </si>
  <si>
    <t>NOK/MWh</t>
  </si>
  <si>
    <t>EUR/NOK kurs</t>
  </si>
  <si>
    <t/>
  </si>
  <si>
    <t>TILGJENGELIGHETSPERIODE</t>
  </si>
  <si>
    <t>Periode</t>
  </si>
  <si>
    <t>Okt 2025 - Mar 2026</t>
  </si>
  <si>
    <t>6 måneder</t>
  </si>
  <si>
    <t>Dager</t>
  </si>
  <si>
    <t>Man - Fre</t>
  </si>
  <si>
    <t>Hverdager</t>
  </si>
  <si>
    <t>Timer per dag</t>
  </si>
  <si>
    <t>06-09 + 16-19</t>
  </si>
  <si>
    <t>Uker totalt</t>
  </si>
  <si>
    <t>Tilgjengelighetstimer</t>
  </si>
  <si>
    <t>timer</t>
  </si>
  <si>
    <t>INNTEKTSBEREGNING</t>
  </si>
  <si>
    <t>Tilgjengelighetsinntekt</t>
  </si>
  <si>
    <t>NOK</t>
  </si>
  <si>
    <t>EUR</t>
  </si>
  <si>
    <t>Antatt aktiveringer/år</t>
  </si>
  <si>
    <t>ganger</t>
  </si>
  <si>
    <t>Aktiveringsbonus</t>
  </si>
  <si>
    <t>RESULTAT</t>
  </si>
  <si>
    <t>Estimert inntekt</t>
  </si>
  <si>
    <t>EUR/år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</si>
</sst>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i/>
      <color rgb="FF666666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F9C4"/>
      </patternFill>
    </fill>
    <fill>
      <patternFill patternType="solid">
        <fgColor rgb="FF2196F3"/>
      </patternFill>
    </fill>
    <fill>
      <patternFill patternType="solid">
        <fgColor rgb="FFFF98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1" xfId="0" applyFill="1" applyBorder="1"/>
    <xf numFmtId="0" fontId="3" fillId="4" borderId="0" xfId="0" applyFont="1" applyFill="1"/>
    <xf numFmtId="0" fontId="4" fillId="0" borderId="0" xfId="0" applyFont="1"/>
    <xf numFmtId="0" fontId="3" fillId="5" borderId="0" xfId="0" applyFont="1" applyFill="1"/>
    <xf numFmtId="3" fontId="0" fillId="0" borderId="0" xfId="0" applyNumberFormat="1"/>
    <xf numFmtId="0" fontId="0" fillId="3" borderId="0" xfId="0" applyFill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35" customWidth="1"/>
    <col min="2" max="2" width="18" customWidth="1"/>
    <col min="3" max="3" width="20" customWidth="1"/>
  </cols>
  <sheetData>
    <row r="1" spans="1:3" x14ac:dyDescent="0.25">
      <c r="A1" s="1" t="s">
        <v>0</v>
      </c>
      <c r="B1" s="1"/>
      <c r="C1" s="1"/>
    </row>
    <row r="2" spans="1:1" x14ac:dyDescent="0.25">
      <c r="A2" s="2" t="s">
        <v>1</v>
      </c>
    </row>
    <row r="4" spans="1:3" x14ac:dyDescent="0.25">
      <c r="A4" s="3" t="s">
        <v>2</v>
      </c>
      <c r="B4" s="3"/>
      <c r="C4" s="3"/>
    </row>
    <row r="5" spans="1:3" x14ac:dyDescent="0.25">
      <c r="A5" t="s">
        <v>3</v>
      </c>
      <c r="B5" s="4">
        <v>1</v>
      </c>
      <c r="C5" t="s">
        <v>4</v>
      </c>
    </row>
    <row r="6" spans="1:3" x14ac:dyDescent="0.25">
      <c r="A6" t="s">
        <v>5</v>
      </c>
      <c r="B6" s="4">
        <v>250</v>
      </c>
      <c r="C6" t="s">
        <v>6</v>
      </c>
    </row>
    <row r="7" spans="1:3" x14ac:dyDescent="0.25">
      <c r="A7" t="s">
        <v>7</v>
      </c>
      <c r="B7" s="4">
        <v>10000</v>
      </c>
      <c r="C7" t="s">
        <v>8</v>
      </c>
    </row>
    <row r="8" spans="1:3" x14ac:dyDescent="0.25">
      <c r="A8" t="s">
        <v>9</v>
      </c>
      <c r="B8" s="4">
        <v>11.5</v>
      </c>
      <c r="C8" t="s">
        <v>10</v>
      </c>
    </row>
    <row r="10" spans="1:3" x14ac:dyDescent="0.25">
      <c r="A10" s="5" t="s">
        <v>11</v>
      </c>
      <c r="B10" s="5"/>
      <c r="C10" s="5"/>
    </row>
    <row r="11" spans="1:3" x14ac:dyDescent="0.25">
      <c r="A11" t="s">
        <v>12</v>
      </c>
      <c r="B11" t="s">
        <v>13</v>
      </c>
      <c r="C11" t="s">
        <v>14</v>
      </c>
    </row>
    <row r="12" spans="1:3" x14ac:dyDescent="0.25">
      <c r="A12" t="s">
        <v>15</v>
      </c>
      <c r="B12" t="s">
        <v>16</v>
      </c>
      <c r="C12" t="s">
        <v>17</v>
      </c>
    </row>
    <row r="13" spans="1:3" x14ac:dyDescent="0.25">
      <c r="A13" t="s">
        <v>18</v>
      </c>
      <c r="B13">
        <v>8</v>
      </c>
      <c r="C13" t="s">
        <v>19</v>
      </c>
    </row>
    <row r="14" spans="1:3" x14ac:dyDescent="0.25">
      <c r="A14" t="s">
        <v>20</v>
      </c>
      <c r="B14">
        <v>26</v>
      </c>
      <c r="C14" t="s">
        <v>10</v>
      </c>
    </row>
    <row r="15" spans="1:3" x14ac:dyDescent="0.25">
      <c r="A15" t="s">
        <v>21</v>
      </c>
      <c r="B15" s="6">
        <f>B13*B14*5</f>
      </c>
      <c r="C15" t="s">
        <v>22</v>
      </c>
    </row>
    <row r="17" spans="1:3" x14ac:dyDescent="0.25">
      <c r="A17" s="7" t="s">
        <v>23</v>
      </c>
      <c r="B17" s="7"/>
      <c r="C17" s="7"/>
    </row>
    <row r="18" spans="1:3" x14ac:dyDescent="0.25">
      <c r="A18" t="s">
        <v>24</v>
      </c>
      <c r="B18" s="8">
        <f>B5*B6*B15</f>
      </c>
      <c r="C18" t="s">
        <v>25</v>
      </c>
    </row>
    <row r="19" spans="1:3" x14ac:dyDescent="0.25">
      <c r="A19" t="s">
        <v>24</v>
      </c>
      <c r="B19" s="8">
        <f>B18/B8</f>
      </c>
      <c r="C19" t="s">
        <v>26</v>
      </c>
    </row>
    <row r="20" spans="1:3" x14ac:dyDescent="0.25">
      <c r="A20" t="s">
        <v>10</v>
      </c>
      <c r="B20" t="s">
        <v>10</v>
      </c>
      <c r="C20" t="s">
        <v>10</v>
      </c>
    </row>
    <row r="21" spans="1:3" x14ac:dyDescent="0.25">
      <c r="A21" t="s">
        <v>27</v>
      </c>
      <c r="B21" s="9">
        <v>1</v>
      </c>
      <c r="C21" t="s">
        <v>28</v>
      </c>
    </row>
    <row r="22" spans="1:3" x14ac:dyDescent="0.25">
      <c r="A22" t="s">
        <v>29</v>
      </c>
      <c r="B22" s="8">
        <f>B21*B7*B5/B8</f>
      </c>
      <c r="C22" t="s">
        <v>26</v>
      </c>
    </row>
    <row r="24" spans="1:3" x14ac:dyDescent="0.25">
      <c r="A24" s="3" t="s">
        <v>30</v>
      </c>
      <c r="B24" s="3"/>
      <c r="C24" s="3"/>
    </row>
    <row r="26" spans="1:3" x14ac:dyDescent="0.25">
      <c r="A26" t="s">
        <v>31</v>
      </c>
      <c r="B26" s="10">
        <f>B19+B22</f>
      </c>
      <c r="C26" t="s">
        <v>32</v>
      </c>
    </row>
  </sheetData>
  <mergeCells count="5">
    <mergeCell ref="A1:C1"/>
    <mergeCell ref="A4:C4"/>
    <mergeCell ref="A10:C10"/>
    <mergeCell ref="A17:C17"/>
    <mergeCell ref="A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Euroflex Estimat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2026-01-12T17:50:24Z</dcterms:created>
  <dcterms:modified xsi:type="dcterms:W3CDTF">2026-01-12T17:50:24Z</dcterms:modified>
</cp:coreProperties>
</file>